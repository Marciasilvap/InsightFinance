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sightFinance\data\"/>
    </mc:Choice>
  </mc:AlternateContent>
  <xr:revisionPtr revIDLastSave="0" documentId="13_ncr:1_{E74BD5B8-1219-4288-BADA-262C95B1543E}" xr6:coauthVersionLast="47" xr6:coauthVersionMax="47" xr10:uidLastSave="{00000000-0000-0000-0000-000000000000}"/>
  <bookViews>
    <workbookView xWindow="780" yWindow="300" windowWidth="19290" windowHeight="10620" xr2:uid="{00000000-000D-0000-FFFF-FFFF00000000}"/>
  </bookViews>
  <sheets>
    <sheet name="Vendas" sheetId="1" r:id="rId1"/>
    <sheet name="Despesas" sheetId="2" r:id="rId2"/>
    <sheet name="Fluxo de Caixa" sheetId="3" r:id="rId3"/>
    <sheet name="Indicadores" sheetId="4" r:id="rId4"/>
    <sheet name="Me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D10" i="5"/>
  <c r="D9" i="5"/>
  <c r="D8" i="5"/>
  <c r="D7" i="5"/>
  <c r="D6" i="5"/>
  <c r="D5" i="5"/>
  <c r="D4" i="5"/>
  <c r="D3" i="5"/>
  <c r="D2" i="5"/>
  <c r="B6" i="4"/>
  <c r="B3" i="4"/>
  <c r="C2" i="3"/>
  <c r="B2" i="3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D2" i="3" l="1"/>
  <c r="B2" i="4"/>
  <c r="B4" i="4" s="1"/>
  <c r="B5" i="4"/>
</calcChain>
</file>

<file path=xl/sharedStrings.xml><?xml version="1.0" encoding="utf-8"?>
<sst xmlns="http://schemas.openxmlformats.org/spreadsheetml/2006/main" count="42" uniqueCount="38">
  <si>
    <t>Data</t>
  </si>
  <si>
    <t>Cliente</t>
  </si>
  <si>
    <t>Produto</t>
  </si>
  <si>
    <t>Quantidade</t>
  </si>
  <si>
    <t>Valor Unitário</t>
  </si>
  <si>
    <t>Valor Total</t>
  </si>
  <si>
    <t>Pago?</t>
  </si>
  <si>
    <t>Forma de pagamento</t>
  </si>
  <si>
    <t>Categoria</t>
  </si>
  <si>
    <t>Descrição</t>
  </si>
  <si>
    <t>Valor</t>
  </si>
  <si>
    <t>Entradas</t>
  </si>
  <si>
    <t>Saídas</t>
  </si>
  <si>
    <t>Saldo</t>
  </si>
  <si>
    <t>Indicador</t>
  </si>
  <si>
    <t>Faturamento Total</t>
  </si>
  <si>
    <t>Total de Despesas</t>
  </si>
  <si>
    <t>Lucro Líquido</t>
  </si>
  <si>
    <t>Ticket Médio</t>
  </si>
  <si>
    <t>Inadimplência (%)</t>
  </si>
  <si>
    <t>Meta</t>
  </si>
  <si>
    <t>Valor Planejado</t>
  </si>
  <si>
    <t>Valor Atual</t>
  </si>
  <si>
    <t>% Atingido</t>
  </si>
  <si>
    <t>Empresa A</t>
  </si>
  <si>
    <t>Notebook</t>
  </si>
  <si>
    <t>Sim</t>
  </si>
  <si>
    <t>Cliente B</t>
  </si>
  <si>
    <t>Mouse</t>
  </si>
  <si>
    <t>Cliente C</t>
  </si>
  <si>
    <t>Monitor</t>
  </si>
  <si>
    <t>Não</t>
  </si>
  <si>
    <t>Internet</t>
  </si>
  <si>
    <t>Plano</t>
  </si>
  <si>
    <t>Energia</t>
  </si>
  <si>
    <t>Conta</t>
  </si>
  <si>
    <t>Marketing</t>
  </si>
  <si>
    <t>Anúncios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</si>
</sst>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 vertical="center" wrapText="1"/>
    </xf>
    <xf numFmtId="43" fontId="0" fillId="0" borderId="1" xfId="1" applyFont="1" applyBorder="1" applyAlignment="1">
      <alignment vertical="center" wrapText="1"/>
    </xf>
    <xf numFmtId="14" fontId="0" fillId="0" borderId="1" xfId="0" applyNumberFormat="1" applyBorder="1"/>
    <xf numFmtId="43" fontId="0" fillId="0" borderId="1" xfId="1" applyFont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5" workbookViewId="0">
      <selection sqref="A1:H1"/>
    </sheetView>
  </sheetViews>
  <sheetFormatPr defaultRowHeight="15" x14ac:dyDescent="0.25"/>
  <cols>
    <col min="1" max="1" width="14.140625" customWidth="1"/>
    <col min="2" max="2" width="18.42578125" customWidth="1"/>
    <col min="3" max="3" width="11.85546875" customWidth="1"/>
    <col min="4" max="4" width="19.28515625" customWidth="1"/>
    <col min="5" max="5" width="16.140625" customWidth="1"/>
    <col min="6" max="6" width="16.85546875" customWidth="1"/>
    <col min="7" max="7" width="14.85546875" customWidth="1"/>
    <col min="8" max="8" width="26.140625" customWidth="1"/>
  </cols>
  <sheetData>
    <row r="1" spans="1:8" ht="42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3">
        <v>46158</v>
      </c>
      <c r="B2" s="4" t="s">
        <v>24</v>
      </c>
      <c r="C2" s="4" t="s">
        <v>25</v>
      </c>
      <c r="D2" s="2">
        <v>2</v>
      </c>
      <c r="E2" s="7">
        <v>3500</v>
      </c>
      <c r="F2" s="7">
        <v>7000</v>
      </c>
      <c r="G2" s="4" t="s">
        <v>26</v>
      </c>
      <c r="H2" s="1"/>
    </row>
    <row r="3" spans="1:8" x14ac:dyDescent="0.25">
      <c r="A3" s="3">
        <v>46158</v>
      </c>
      <c r="B3" s="4" t="s">
        <v>27</v>
      </c>
      <c r="C3" s="4" t="s">
        <v>28</v>
      </c>
      <c r="D3" s="2">
        <v>5</v>
      </c>
      <c r="E3" s="7">
        <v>80</v>
      </c>
      <c r="F3" s="7">
        <v>400</v>
      </c>
      <c r="G3" s="4" t="s">
        <v>26</v>
      </c>
      <c r="H3" s="1"/>
    </row>
    <row r="4" spans="1:8" x14ac:dyDescent="0.25">
      <c r="A4" s="3">
        <v>46158</v>
      </c>
      <c r="B4" s="4" t="s">
        <v>29</v>
      </c>
      <c r="C4" s="4" t="s">
        <v>30</v>
      </c>
      <c r="D4" s="2">
        <v>1</v>
      </c>
      <c r="E4" s="7">
        <v>1200</v>
      </c>
      <c r="F4" s="7">
        <v>1200</v>
      </c>
      <c r="G4" s="4" t="s">
        <v>31</v>
      </c>
      <c r="H4" s="1"/>
    </row>
    <row r="5" spans="1:8" x14ac:dyDescent="0.25">
      <c r="A5" s="1"/>
      <c r="B5" s="1"/>
      <c r="C5" s="1"/>
      <c r="D5" s="1"/>
      <c r="E5" s="1"/>
      <c r="F5" s="1">
        <f t="shared" ref="F5:F20" si="0">D5*E5</f>
        <v>0</v>
      </c>
      <c r="G5" s="1"/>
      <c r="H5" s="1"/>
    </row>
    <row r="6" spans="1:8" x14ac:dyDescent="0.25">
      <c r="A6" s="1"/>
      <c r="B6" s="1"/>
      <c r="C6" s="1"/>
      <c r="D6" s="1"/>
      <c r="E6" s="1"/>
      <c r="F6" s="1">
        <f t="shared" si="0"/>
        <v>0</v>
      </c>
      <c r="G6" s="1"/>
      <c r="H6" s="1"/>
    </row>
    <row r="7" spans="1:8" x14ac:dyDescent="0.25">
      <c r="A7" s="1"/>
      <c r="B7" s="1"/>
      <c r="C7" s="1"/>
      <c r="D7" s="1"/>
      <c r="E7" s="1"/>
      <c r="F7" s="1">
        <f t="shared" si="0"/>
        <v>0</v>
      </c>
      <c r="G7" s="1"/>
      <c r="H7" s="1"/>
    </row>
    <row r="8" spans="1:8" x14ac:dyDescent="0.25">
      <c r="A8" s="1"/>
      <c r="B8" s="1"/>
      <c r="C8" s="1"/>
      <c r="D8" s="1"/>
      <c r="E8" s="1"/>
      <c r="F8" s="1">
        <f t="shared" si="0"/>
        <v>0</v>
      </c>
      <c r="G8" s="1"/>
      <c r="H8" s="1"/>
    </row>
    <row r="9" spans="1:8" x14ac:dyDescent="0.25">
      <c r="A9" s="1"/>
      <c r="B9" s="1"/>
      <c r="C9" s="1"/>
      <c r="D9" s="1"/>
      <c r="E9" s="1"/>
      <c r="F9" s="1">
        <f t="shared" si="0"/>
        <v>0</v>
      </c>
      <c r="G9" s="1"/>
      <c r="H9" s="1"/>
    </row>
    <row r="10" spans="1:8" x14ac:dyDescent="0.25">
      <c r="A10" s="1"/>
      <c r="B10" s="1"/>
      <c r="C10" s="1"/>
      <c r="D10" s="1"/>
      <c r="E10" s="1"/>
      <c r="F10" s="1">
        <f t="shared" si="0"/>
        <v>0</v>
      </c>
      <c r="G10" s="1"/>
      <c r="H10" s="1"/>
    </row>
    <row r="11" spans="1:8" x14ac:dyDescent="0.25">
      <c r="A11" s="1"/>
      <c r="B11" s="1"/>
      <c r="C11" s="1"/>
      <c r="D11" s="1"/>
      <c r="E11" s="1"/>
      <c r="F11" s="1">
        <f t="shared" si="0"/>
        <v>0</v>
      </c>
      <c r="G11" s="1"/>
      <c r="H11" s="1"/>
    </row>
    <row r="12" spans="1:8" x14ac:dyDescent="0.25">
      <c r="A12" s="1"/>
      <c r="B12" s="1"/>
      <c r="C12" s="1"/>
      <c r="D12" s="1"/>
      <c r="E12" s="1"/>
      <c r="F12" s="1">
        <f t="shared" si="0"/>
        <v>0</v>
      </c>
      <c r="G12" s="1"/>
      <c r="H12" s="1"/>
    </row>
    <row r="13" spans="1:8" x14ac:dyDescent="0.25">
      <c r="A13" s="1"/>
      <c r="B13" s="1"/>
      <c r="C13" s="1"/>
      <c r="D13" s="1"/>
      <c r="E13" s="1"/>
      <c r="F13" s="1">
        <f t="shared" si="0"/>
        <v>0</v>
      </c>
      <c r="G13" s="1"/>
      <c r="H13" s="1"/>
    </row>
    <row r="14" spans="1:8" x14ac:dyDescent="0.25">
      <c r="A14" s="1"/>
      <c r="B14" s="1"/>
      <c r="C14" s="1"/>
      <c r="D14" s="1"/>
      <c r="E14" s="1"/>
      <c r="F14" s="1">
        <f t="shared" si="0"/>
        <v>0</v>
      </c>
      <c r="G14" s="1"/>
      <c r="H14" s="1"/>
    </row>
    <row r="15" spans="1:8" x14ac:dyDescent="0.25">
      <c r="A15" s="1"/>
      <c r="B15" s="1"/>
      <c r="C15" s="1"/>
      <c r="D15" s="1"/>
      <c r="E15" s="1"/>
      <c r="F15" s="1">
        <f t="shared" si="0"/>
        <v>0</v>
      </c>
      <c r="G15" s="1"/>
      <c r="H15" s="1"/>
    </row>
    <row r="16" spans="1:8" x14ac:dyDescent="0.25">
      <c r="A16" s="1"/>
      <c r="B16" s="1"/>
      <c r="C16" s="1"/>
      <c r="D16" s="1"/>
      <c r="E16" s="1"/>
      <c r="F16" s="1">
        <f t="shared" si="0"/>
        <v>0</v>
      </c>
      <c r="G16" s="1"/>
      <c r="H16" s="1"/>
    </row>
    <row r="17" spans="1:8" x14ac:dyDescent="0.25">
      <c r="A17" s="1"/>
      <c r="B17" s="1"/>
      <c r="C17" s="1"/>
      <c r="D17" s="1"/>
      <c r="E17" s="1"/>
      <c r="F17" s="1">
        <f t="shared" si="0"/>
        <v>0</v>
      </c>
      <c r="G17" s="1"/>
      <c r="H17" s="1"/>
    </row>
    <row r="18" spans="1:8" x14ac:dyDescent="0.25">
      <c r="A18" s="1"/>
      <c r="B18" s="1"/>
      <c r="C18" s="1"/>
      <c r="D18" s="1"/>
      <c r="E18" s="1"/>
      <c r="F18" s="1">
        <f t="shared" si="0"/>
        <v>0</v>
      </c>
      <c r="G18" s="1"/>
      <c r="H18" s="1"/>
    </row>
    <row r="19" spans="1:8" x14ac:dyDescent="0.25">
      <c r="A19" s="1"/>
      <c r="B19" s="1"/>
      <c r="C19" s="1"/>
      <c r="D19" s="1"/>
      <c r="E19" s="1"/>
      <c r="F19" s="1">
        <f t="shared" si="0"/>
        <v>0</v>
      </c>
      <c r="G19" s="1"/>
      <c r="H19" s="1"/>
    </row>
    <row r="20" spans="1:8" x14ac:dyDescent="0.25">
      <c r="A20" s="1"/>
      <c r="B20" s="1"/>
      <c r="C20" s="1"/>
      <c r="D20" s="1"/>
      <c r="E20" s="1"/>
      <c r="F20" s="1">
        <f t="shared" si="0"/>
        <v>0</v>
      </c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sqref="A1:D1"/>
    </sheetView>
  </sheetViews>
  <sheetFormatPr defaultRowHeight="15" x14ac:dyDescent="0.25"/>
  <cols>
    <col min="1" max="1" width="16.140625" customWidth="1"/>
    <col min="2" max="2" width="23.85546875" customWidth="1"/>
    <col min="3" max="3" width="16.85546875" customWidth="1"/>
    <col min="4" max="4" width="24" customWidth="1"/>
  </cols>
  <sheetData>
    <row r="1" spans="1:4" ht="36" customHeight="1" x14ac:dyDescent="0.25">
      <c r="A1" s="11" t="s">
        <v>0</v>
      </c>
      <c r="B1" s="11" t="s">
        <v>8</v>
      </c>
      <c r="C1" s="11" t="s">
        <v>9</v>
      </c>
      <c r="D1" s="11" t="s">
        <v>10</v>
      </c>
    </row>
    <row r="2" spans="1:4" x14ac:dyDescent="0.25">
      <c r="A2" s="3">
        <v>46158</v>
      </c>
      <c r="B2" s="4" t="s">
        <v>32</v>
      </c>
      <c r="C2" s="4" t="s">
        <v>33</v>
      </c>
      <c r="D2" s="6">
        <v>120</v>
      </c>
    </row>
    <row r="3" spans="1:4" x14ac:dyDescent="0.25">
      <c r="A3" s="3">
        <v>46158</v>
      </c>
      <c r="B3" s="4" t="s">
        <v>34</v>
      </c>
      <c r="C3" s="4" t="s">
        <v>35</v>
      </c>
      <c r="D3" s="6">
        <v>300</v>
      </c>
    </row>
    <row r="4" spans="1:4" x14ac:dyDescent="0.25">
      <c r="A4" s="3">
        <v>46158</v>
      </c>
      <c r="B4" s="4" t="s">
        <v>36</v>
      </c>
      <c r="C4" s="4" t="s">
        <v>37</v>
      </c>
      <c r="D4" s="6">
        <v>500</v>
      </c>
    </row>
    <row r="5" spans="1:4" x14ac:dyDescent="0.25">
      <c r="A5" s="5"/>
      <c r="B5" s="5"/>
      <c r="C5" s="5"/>
      <c r="D5" s="5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sqref="A1:D1"/>
    </sheetView>
  </sheetViews>
  <sheetFormatPr defaultRowHeight="15" x14ac:dyDescent="0.25"/>
  <cols>
    <col min="1" max="1" width="11.7109375" customWidth="1"/>
    <col min="2" max="2" width="14.42578125" customWidth="1"/>
    <col min="3" max="3" width="18.140625" customWidth="1"/>
    <col min="4" max="4" width="12.140625" customWidth="1"/>
  </cols>
  <sheetData>
    <row r="1" spans="1:4" ht="45.75" customHeight="1" x14ac:dyDescent="0.25">
      <c r="A1" s="10" t="s">
        <v>0</v>
      </c>
      <c r="B1" s="10" t="s">
        <v>11</v>
      </c>
      <c r="C1" s="10" t="s">
        <v>12</v>
      </c>
      <c r="D1" s="10" t="s">
        <v>13</v>
      </c>
    </row>
    <row r="2" spans="1:4" x14ac:dyDescent="0.25">
      <c r="A2" s="8">
        <v>46112</v>
      </c>
      <c r="B2" s="9">
        <f>SUMIF(Vendas!G:G,"Sim",Vendas!F:F)</f>
        <v>7400</v>
      </c>
      <c r="C2" s="1" t="e">
        <f>SUM(Despesas!#REF!)</f>
        <v>#REF!</v>
      </c>
      <c r="D2" s="1" t="e">
        <f>B2-C2</f>
        <v>#REF!</v>
      </c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E22" sqref="E22"/>
    </sheetView>
  </sheetViews>
  <sheetFormatPr defaultRowHeight="15" x14ac:dyDescent="0.25"/>
  <cols>
    <col min="1" max="1" width="17.85546875" customWidth="1"/>
    <col min="2" max="2" width="24.28515625" customWidth="1"/>
  </cols>
  <sheetData>
    <row r="1" spans="1:2" ht="34.5" customHeight="1" x14ac:dyDescent="0.25">
      <c r="A1" s="10" t="s">
        <v>14</v>
      </c>
      <c r="B1" s="10" t="s">
        <v>10</v>
      </c>
    </row>
    <row r="2" spans="1:2" x14ac:dyDescent="0.25">
      <c r="A2" s="1" t="s">
        <v>15</v>
      </c>
      <c r="B2" s="9">
        <f>SUM(Vendas!F:F)</f>
        <v>8600</v>
      </c>
    </row>
    <row r="3" spans="1:2" x14ac:dyDescent="0.25">
      <c r="A3" s="1" t="s">
        <v>16</v>
      </c>
      <c r="B3" s="1" t="e">
        <f>SUM(Despesas!#REF!)</f>
        <v>#REF!</v>
      </c>
    </row>
    <row r="4" spans="1:2" x14ac:dyDescent="0.25">
      <c r="A4" s="1" t="s">
        <v>17</v>
      </c>
      <c r="B4" s="1" t="e">
        <f>B2-B3</f>
        <v>#REF!</v>
      </c>
    </row>
    <row r="5" spans="1:2" x14ac:dyDescent="0.25">
      <c r="A5" s="1" t="s">
        <v>18</v>
      </c>
      <c r="B5" s="1">
        <f>AVERAGE(Vendas!F:F)</f>
        <v>452.63157894736844</v>
      </c>
    </row>
    <row r="6" spans="1:2" x14ac:dyDescent="0.25">
      <c r="A6" s="1" t="s">
        <v>19</v>
      </c>
      <c r="B6" s="1">
        <f>COUNTIF(Vendas!G:G,"Não")/COUNTA(Vendas!G:G)</f>
        <v>0.25</v>
      </c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sqref="A1:D1"/>
    </sheetView>
  </sheetViews>
  <sheetFormatPr defaultRowHeight="15" x14ac:dyDescent="0.25"/>
  <cols>
    <col min="1" max="1" width="16.7109375" customWidth="1"/>
    <col min="2" max="2" width="15.85546875" customWidth="1"/>
    <col min="3" max="3" width="18.5703125" customWidth="1"/>
    <col min="4" max="4" width="15" customWidth="1"/>
  </cols>
  <sheetData>
    <row r="1" spans="1:4" ht="34.5" customHeight="1" x14ac:dyDescent="0.25">
      <c r="A1" s="10" t="s">
        <v>20</v>
      </c>
      <c r="B1" s="10" t="s">
        <v>21</v>
      </c>
      <c r="C1" s="10" t="s">
        <v>22</v>
      </c>
      <c r="D1" s="10" t="s">
        <v>23</v>
      </c>
    </row>
    <row r="2" spans="1:4" x14ac:dyDescent="0.25">
      <c r="A2" s="1"/>
      <c r="B2" s="1"/>
      <c r="C2" s="1"/>
      <c r="D2" s="1">
        <f t="shared" ref="D2:D11" si="0">IF(B2&gt;0,C2/B2,0)</f>
        <v>0</v>
      </c>
    </row>
    <row r="3" spans="1:4" x14ac:dyDescent="0.25">
      <c r="A3" s="1"/>
      <c r="B3" s="1"/>
      <c r="C3" s="1"/>
      <c r="D3" s="1">
        <f t="shared" si="0"/>
        <v>0</v>
      </c>
    </row>
    <row r="4" spans="1:4" x14ac:dyDescent="0.25">
      <c r="A4" s="1"/>
      <c r="B4" s="1"/>
      <c r="C4" s="1"/>
      <c r="D4" s="1">
        <f t="shared" si="0"/>
        <v>0</v>
      </c>
    </row>
    <row r="5" spans="1:4" x14ac:dyDescent="0.25">
      <c r="A5" s="1"/>
      <c r="B5" s="1"/>
      <c r="C5" s="1"/>
      <c r="D5" s="1">
        <f t="shared" si="0"/>
        <v>0</v>
      </c>
    </row>
    <row r="6" spans="1:4" x14ac:dyDescent="0.25">
      <c r="A6" s="1"/>
      <c r="B6" s="1"/>
      <c r="C6" s="1"/>
      <c r="D6" s="1">
        <f t="shared" si="0"/>
        <v>0</v>
      </c>
    </row>
    <row r="7" spans="1:4" x14ac:dyDescent="0.25">
      <c r="A7" s="1"/>
      <c r="B7" s="1"/>
      <c r="C7" s="1"/>
      <c r="D7" s="1">
        <f t="shared" si="0"/>
        <v>0</v>
      </c>
    </row>
    <row r="8" spans="1:4" x14ac:dyDescent="0.25">
      <c r="A8" s="1"/>
      <c r="B8" s="1"/>
      <c r="C8" s="1"/>
      <c r="D8" s="1">
        <f t="shared" si="0"/>
        <v>0</v>
      </c>
    </row>
    <row r="9" spans="1:4" x14ac:dyDescent="0.25">
      <c r="A9" s="1"/>
      <c r="B9" s="1"/>
      <c r="C9" s="1"/>
      <c r="D9" s="1">
        <f t="shared" si="0"/>
        <v>0</v>
      </c>
    </row>
    <row r="10" spans="1:4" x14ac:dyDescent="0.25">
      <c r="A10" s="1"/>
      <c r="B10" s="1"/>
      <c r="C10" s="1"/>
      <c r="D10" s="1">
        <f t="shared" si="0"/>
        <v>0</v>
      </c>
    </row>
    <row r="11" spans="1:4" x14ac:dyDescent="0.25">
      <c r="A11" s="1"/>
      <c r="B11" s="1"/>
      <c r="C11" s="1"/>
      <c r="D11" s="1">
        <f t="shared" si="0"/>
        <v>0</v>
      </c>
    </row>
    <row r="12" spans="1:4" x14ac:dyDescent="0.25">
      <c r="A12" s="1"/>
      <c r="B12" s="1"/>
      <c r="C12" s="1"/>
      <c r="D1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Vendas</vt:lpstr>
      <vt:lpstr>Despesas</vt:lpstr>
      <vt:lpstr>Fluxo de Caixa</vt:lpstr>
      <vt:lpstr>Indicadores</vt:lpstr>
      <vt:lpstr>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Marcia Pelosi</cp:lastModifiedBy>
  <dcterms:created xsi:type="dcterms:W3CDTF">2026-04-29T10:43:47Z</dcterms:created>
  <dcterms:modified xsi:type="dcterms:W3CDTF">2026-05-31T12:35:16Z</dcterms:modified>
</cp:coreProperties>
</file>